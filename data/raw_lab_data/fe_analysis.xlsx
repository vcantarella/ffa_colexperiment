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nt\Documents\ffa_colexperiment\data\raw_lab_data\"/>
    </mc:Choice>
  </mc:AlternateContent>
  <xr:revisionPtr revIDLastSave="0" documentId="13_ncr:1_{5C612C10-DB26-4A75-AB8D-648B939814CB}" xr6:coauthVersionLast="47" xr6:coauthVersionMax="47" xr10:uidLastSave="{00000000-0000-0000-0000-000000000000}"/>
  <bookViews>
    <workbookView xWindow="-120" yWindow="-120" windowWidth="29040" windowHeight="15720" xr2:uid="{C8071D3B-C586-244C-B46E-B25A50D33177}"/>
  </bookViews>
  <sheets>
    <sheet name="fe_plat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  <c r="V19" i="1"/>
  <c r="V18" i="1"/>
  <c r="V17" i="1"/>
  <c r="V16" i="1"/>
  <c r="T22" i="1" s="1"/>
  <c r="V5" i="1"/>
  <c r="V4" i="1"/>
  <c r="V3" i="1"/>
  <c r="V2" i="1"/>
  <c r="T21" i="1" l="1"/>
  <c r="T11" i="1"/>
  <c r="T12" i="1"/>
  <c r="J11" i="1" s="1"/>
  <c r="O11" i="1" s="1"/>
  <c r="K10" i="1"/>
  <c r="K5" i="1"/>
  <c r="K4" i="1"/>
  <c r="K9" i="1"/>
  <c r="K2" i="1"/>
  <c r="K8" i="1"/>
  <c r="K11" i="1"/>
  <c r="K7" i="1"/>
  <c r="J9" i="1" l="1"/>
  <c r="O9" i="1" s="1"/>
  <c r="J6" i="1"/>
  <c r="K3" i="1"/>
  <c r="K6" i="1"/>
  <c r="J8" i="1"/>
  <c r="O8" i="1" s="1"/>
  <c r="J7" i="1"/>
  <c r="O7" i="1" s="1"/>
  <c r="J5" i="1"/>
  <c r="J2" i="1"/>
  <c r="O2" i="1" s="1"/>
  <c r="J4" i="1"/>
  <c r="L11" i="1"/>
  <c r="P11" i="1" s="1"/>
  <c r="J10" i="1"/>
  <c r="J3" i="1"/>
  <c r="O3" i="1" s="1"/>
  <c r="L9" i="1"/>
  <c r="P9" i="1" s="1"/>
  <c r="L3" i="1"/>
  <c r="P3" i="1" s="1"/>
  <c r="L8" i="1" l="1"/>
  <c r="P8" i="1" s="1"/>
  <c r="L7" i="1"/>
  <c r="P7" i="1" s="1"/>
  <c r="L4" i="1"/>
  <c r="P4" i="1" s="1"/>
  <c r="O4" i="1"/>
  <c r="L6" i="1"/>
  <c r="P6" i="1" s="1"/>
  <c r="O6" i="1"/>
  <c r="L2" i="1"/>
  <c r="P2" i="1" s="1"/>
  <c r="L10" i="1"/>
  <c r="P10" i="1" s="1"/>
  <c r="O10" i="1"/>
  <c r="L5" i="1"/>
  <c r="P5" i="1" s="1"/>
  <c r="O5" i="1"/>
</calcChain>
</file>

<file path=xl/sharedStrings.xml><?xml version="1.0" encoding="utf-8"?>
<sst xmlns="http://schemas.openxmlformats.org/spreadsheetml/2006/main" count="42" uniqueCount="36">
  <si>
    <t>name</t>
  </si>
  <si>
    <t>obs</t>
  </si>
  <si>
    <t>fe2+ [micromol/L]</t>
  </si>
  <si>
    <t>Standard</t>
  </si>
  <si>
    <t>Value 1</t>
  </si>
  <si>
    <t>Value 2</t>
  </si>
  <si>
    <t>Value 3</t>
  </si>
  <si>
    <t>Avg</t>
  </si>
  <si>
    <t>slope</t>
  </si>
  <si>
    <t>Fetotal</t>
  </si>
  <si>
    <t>C1 0-4</t>
  </si>
  <si>
    <t>C1 4-8</t>
  </si>
  <si>
    <t>C2 0-4</t>
  </si>
  <si>
    <t>C2 4-8</t>
  </si>
  <si>
    <t>C3 0-4</t>
  </si>
  <si>
    <t>C3 4-8</t>
  </si>
  <si>
    <t>C4 0-4</t>
  </si>
  <si>
    <t>C4 4-8</t>
  </si>
  <si>
    <t>val1 fe2+</t>
  </si>
  <si>
    <t>val2 fe2+</t>
  </si>
  <si>
    <t>val3 fe2+</t>
  </si>
  <si>
    <t>val1 fet</t>
  </si>
  <si>
    <t>val2 fet</t>
  </si>
  <si>
    <t>val3 fet</t>
  </si>
  <si>
    <t>dil ratio</t>
  </si>
  <si>
    <t>fe total</t>
  </si>
  <si>
    <t>fe3+</t>
  </si>
  <si>
    <t>weight_w_vial [g]</t>
  </si>
  <si>
    <t>weight [g]</t>
  </si>
  <si>
    <t>vial_weight</t>
  </si>
  <si>
    <t>acid volume [ml]</t>
  </si>
  <si>
    <t>fe2+ [mol/kg]</t>
  </si>
  <si>
    <t>fe3+ [mol/kg]</t>
  </si>
  <si>
    <t>weight_error</t>
  </si>
  <si>
    <t>Br 17-18_2</t>
  </si>
  <si>
    <t>Br 17-18_1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</si>
</sst>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fe2+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027531189541655"/>
                  <c:y val="0.17365842567551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fe_plate_1!$V$2:$V$5</c:f>
              <c:numCache>
                <c:formatCode>General</c:formatCode>
                <c:ptCount val="4"/>
                <c:pt idx="0">
                  <c:v>1.4083333333333332</c:v>
                </c:pt>
                <c:pt idx="1">
                  <c:v>0.70866666666666667</c:v>
                </c:pt>
                <c:pt idx="2">
                  <c:v>0.34533333333333333</c:v>
                </c:pt>
                <c:pt idx="3">
                  <c:v>0.19133333333333336</c:v>
                </c:pt>
              </c:numCache>
            </c:numRef>
          </c:xVal>
          <c:yVal>
            <c:numRef>
              <c:f>fe_plate_1!$R$2:$R$5</c:f>
              <c:numCache>
                <c:formatCode>General</c:formatCode>
                <c:ptCount val="4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48-8845-9D2F-28A7B037E98C}"/>
            </c:ext>
          </c:extLst>
        </c:ser>
        <c:ser>
          <c:idx val="0"/>
          <c:order val="1"/>
          <c:tx>
            <c:v>fetotal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927915734496788E-3"/>
                  <c:y val="0.2098772227939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fe_plate_1!$V$16:$V$19</c:f>
              <c:numCache>
                <c:formatCode>General</c:formatCode>
                <c:ptCount val="4"/>
                <c:pt idx="0">
                  <c:v>1.7249999999999999</c:v>
                </c:pt>
                <c:pt idx="1">
                  <c:v>0.91233333333333333</c:v>
                </c:pt>
                <c:pt idx="2">
                  <c:v>0.54366666666666674</c:v>
                </c:pt>
                <c:pt idx="3">
                  <c:v>0.30266666666666664</c:v>
                </c:pt>
              </c:numCache>
            </c:numRef>
          </c:xVal>
          <c:yVal>
            <c:numRef>
              <c:f>fe_plate_1!$R$16:$R$19</c:f>
              <c:numCache>
                <c:formatCode>General</c:formatCode>
                <c:ptCount val="4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48-8845-9D2F-28A7B037E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48543"/>
        <c:axId val="683950255"/>
      </c:scatterChart>
      <c:valAx>
        <c:axId val="68394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50255"/>
        <c:crosses val="autoZero"/>
        <c:crossBetween val="midCat"/>
      </c:valAx>
      <c:valAx>
        <c:axId val="683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349250</xdr:colOff>
      <xdr:row>4</xdr:row>
      <xdr:rowOff>12700</xdr:rowOff>
    </xdr:from>
    <xdr:to>
      <xdr:col>30</xdr:col>
      <xdr:colOff>25400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64EA7-ED56-FC48-8427-86DC6B2EA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89AC-82C2-7345-9BAC-7A6CD6AD2B1F}">
  <dimension ref="A1:Y22"/>
  <sheetViews>
    <sheetView tabSelected="1" workbookViewId="0">
      <selection activeCell="J20" sqref="J20"/>
    </sheetView>
  </sheetViews>
  <sheetFormatPr baseColWidth="10" defaultRowHeight="15.75" x14ac:dyDescent="0.25"/>
  <cols>
    <col min="9" max="9" width="19.125" bestFit="1" customWidth="1"/>
    <col min="10" max="10" width="15.125" bestFit="1" customWidth="1"/>
    <col min="15" max="15" width="16" bestFit="1" customWidth="1"/>
    <col min="16" max="17" width="16" customWidth="1"/>
  </cols>
  <sheetData>
    <row r="1" spans="1:25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1</v>
      </c>
      <c r="J1" t="s">
        <v>2</v>
      </c>
      <c r="K1" t="s">
        <v>25</v>
      </c>
      <c r="L1" t="s">
        <v>26</v>
      </c>
      <c r="M1" t="s">
        <v>27</v>
      </c>
      <c r="N1" t="s">
        <v>28</v>
      </c>
      <c r="O1" t="s">
        <v>31</v>
      </c>
      <c r="P1" t="s">
        <v>32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X1" t="s">
        <v>29</v>
      </c>
      <c r="Y1" t="s">
        <v>33</v>
      </c>
    </row>
    <row r="2" spans="1:25" x14ac:dyDescent="0.25">
      <c r="A2" t="s">
        <v>10</v>
      </c>
      <c r="B2">
        <v>0.46300000000000002</v>
      </c>
      <c r="C2">
        <v>0.46700000000000003</v>
      </c>
      <c r="D2">
        <v>0.47</v>
      </c>
      <c r="E2">
        <v>0.96399999999999997</v>
      </c>
      <c r="F2">
        <v>0.97199999999999998</v>
      </c>
      <c r="G2">
        <v>0.97299999999999998</v>
      </c>
      <c r="H2">
        <v>20</v>
      </c>
      <c r="J2">
        <f t="shared" ref="J2:J11" si="0">(AVERAGE(B2:D2)*$T$11 + $T$12)*H2</f>
        <v>6387.7624337900124</v>
      </c>
      <c r="K2">
        <f t="shared" ref="K2:K11" si="1">(AVERAGE(E2:G2)*$T$21 + $T$22)*H2</f>
        <v>10502.098390578023</v>
      </c>
      <c r="L2">
        <f>K2-J2</f>
        <v>4114.3359567880107</v>
      </c>
      <c r="M2">
        <v>18.094000000000001</v>
      </c>
      <c r="N2">
        <f t="shared" ref="N2:N11" si="2">M2-$X$2</f>
        <v>5.1740000000000013</v>
      </c>
      <c r="O2">
        <f t="shared" ref="O2:O11" si="3">J2*$X$4/1000/(N2/1000)*0.000001</f>
        <v>1.2345887966351004E-2</v>
      </c>
      <c r="P2">
        <f>L2*$X$4/1000/(M2/1000)*0.000001</f>
        <v>2.2738675565314522E-3</v>
      </c>
      <c r="R2">
        <v>1000</v>
      </c>
      <c r="S2">
        <v>1.5329999999999999</v>
      </c>
      <c r="T2">
        <v>1.5049999999999999</v>
      </c>
      <c r="U2">
        <v>1.1870000000000001</v>
      </c>
      <c r="V2">
        <f>AVERAGE(S2:U2)</f>
        <v>1.4083333333333332</v>
      </c>
      <c r="X2">
        <v>12.92</v>
      </c>
      <c r="Y2">
        <v>0.05</v>
      </c>
    </row>
    <row r="3" spans="1:25" x14ac:dyDescent="0.25">
      <c r="A3" t="s">
        <v>11</v>
      </c>
      <c r="B3">
        <v>0.71099999999999997</v>
      </c>
      <c r="C3">
        <v>0.70799999999999996</v>
      </c>
      <c r="D3">
        <v>0.70799999999999996</v>
      </c>
      <c r="E3">
        <v>1.41</v>
      </c>
      <c r="F3">
        <v>1.413</v>
      </c>
      <c r="G3">
        <v>1.327</v>
      </c>
      <c r="H3">
        <v>20</v>
      </c>
      <c r="J3">
        <f t="shared" si="0"/>
        <v>9913.127466631453</v>
      </c>
      <c r="K3">
        <f t="shared" si="1"/>
        <v>15747.175530518378</v>
      </c>
      <c r="L3">
        <f t="shared" ref="L3:L11" si="4">K3-J3</f>
        <v>5834.0480638869249</v>
      </c>
      <c r="M3">
        <v>19.338999999999999</v>
      </c>
      <c r="N3">
        <f t="shared" si="2"/>
        <v>6.4189999999999987</v>
      </c>
      <c r="O3">
        <f t="shared" si="3"/>
        <v>1.5443414031206505E-2</v>
      </c>
      <c r="P3">
        <f t="shared" ref="P3:P11" si="5">L3*$X$4/1000/(M3/1000)*0.000001</f>
        <v>3.0167268544841644E-3</v>
      </c>
      <c r="R3">
        <v>500</v>
      </c>
      <c r="S3">
        <v>0.71399999999999997</v>
      </c>
      <c r="T3">
        <v>0.70599999999999996</v>
      </c>
      <c r="U3">
        <v>0.70599999999999996</v>
      </c>
      <c r="V3">
        <f t="shared" ref="V3:V5" si="6">AVERAGE(S3:U3)</f>
        <v>0.70866666666666667</v>
      </c>
      <c r="X3" t="s">
        <v>30</v>
      </c>
    </row>
    <row r="4" spans="1:25" x14ac:dyDescent="0.25">
      <c r="A4" t="s">
        <v>12</v>
      </c>
      <c r="B4">
        <v>0.45600000000000002</v>
      </c>
      <c r="C4">
        <v>0.45400000000000001</v>
      </c>
      <c r="D4">
        <v>0.41799999999999998</v>
      </c>
      <c r="E4">
        <v>1.129</v>
      </c>
      <c r="F4">
        <v>1.052</v>
      </c>
      <c r="G4">
        <v>1.0589999999999999</v>
      </c>
      <c r="H4">
        <v>20</v>
      </c>
      <c r="J4">
        <f t="shared" si="0"/>
        <v>6038.6203672637648</v>
      </c>
      <c r="K4">
        <f t="shared" si="1"/>
        <v>11901.067394059297</v>
      </c>
      <c r="L4">
        <f t="shared" si="4"/>
        <v>5862.4470267955321</v>
      </c>
      <c r="M4">
        <v>18.739999999999998</v>
      </c>
      <c r="N4">
        <f t="shared" si="2"/>
        <v>5.8199999999999985</v>
      </c>
      <c r="O4">
        <f t="shared" si="3"/>
        <v>1.0375636369869014E-2</v>
      </c>
      <c r="P4">
        <f t="shared" si="5"/>
        <v>3.1283068446080749E-3</v>
      </c>
      <c r="R4">
        <v>250</v>
      </c>
      <c r="S4">
        <v>0.35599999999999998</v>
      </c>
      <c r="T4">
        <v>0.33900000000000002</v>
      </c>
      <c r="U4">
        <v>0.34100000000000003</v>
      </c>
      <c r="V4">
        <f t="shared" si="6"/>
        <v>0.34533333333333333</v>
      </c>
      <c r="X4">
        <v>10</v>
      </c>
    </row>
    <row r="5" spans="1:25" x14ac:dyDescent="0.25">
      <c r="A5" t="s">
        <v>13</v>
      </c>
      <c r="B5">
        <v>0.60099999999999998</v>
      </c>
      <c r="C5">
        <v>0.58599999999999997</v>
      </c>
      <c r="D5">
        <v>0.59499999999999997</v>
      </c>
      <c r="E5">
        <v>1.429</v>
      </c>
      <c r="F5">
        <v>1.452</v>
      </c>
      <c r="G5">
        <v>1.46</v>
      </c>
      <c r="H5">
        <v>20</v>
      </c>
      <c r="J5">
        <f t="shared" si="0"/>
        <v>8240.1550645265052</v>
      </c>
      <c r="K5">
        <f t="shared" si="1"/>
        <v>16554.43558992902</v>
      </c>
      <c r="L5">
        <f t="shared" si="4"/>
        <v>8314.2805254025152</v>
      </c>
      <c r="M5">
        <v>17.84</v>
      </c>
      <c r="N5">
        <f t="shared" si="2"/>
        <v>4.92</v>
      </c>
      <c r="O5">
        <f t="shared" si="3"/>
        <v>1.6748282651476636E-2</v>
      </c>
      <c r="P5">
        <f t="shared" si="5"/>
        <v>4.6604711465260736E-3</v>
      </c>
      <c r="R5">
        <v>100</v>
      </c>
      <c r="S5">
        <v>0.22700000000000001</v>
      </c>
      <c r="T5">
        <v>0.16700000000000001</v>
      </c>
      <c r="U5">
        <v>0.18</v>
      </c>
      <c r="V5">
        <f t="shared" si="6"/>
        <v>0.19133333333333336</v>
      </c>
    </row>
    <row r="6" spans="1:25" x14ac:dyDescent="0.25">
      <c r="A6" t="s">
        <v>14</v>
      </c>
      <c r="B6">
        <v>0.59</v>
      </c>
      <c r="C6">
        <v>0.59299999999999997</v>
      </c>
      <c r="E6">
        <v>1.19</v>
      </c>
      <c r="F6">
        <v>1.2030000000000001</v>
      </c>
      <c r="H6">
        <v>20</v>
      </c>
      <c r="J6">
        <f t="shared" si="0"/>
        <v>8203.7860992633541</v>
      </c>
      <c r="K6">
        <f t="shared" si="1"/>
        <v>13378.226508007039</v>
      </c>
      <c r="L6">
        <f t="shared" si="4"/>
        <v>5174.4404087436851</v>
      </c>
      <c r="M6">
        <v>17.571999999999999</v>
      </c>
      <c r="N6">
        <f t="shared" si="2"/>
        <v>4.6519999999999992</v>
      </c>
      <c r="O6">
        <f t="shared" si="3"/>
        <v>1.7634965819568693E-2</v>
      </c>
      <c r="P6">
        <f t="shared" si="5"/>
        <v>2.944707721798136E-3</v>
      </c>
    </row>
    <row r="7" spans="1:25" x14ac:dyDescent="0.25">
      <c r="A7" t="s">
        <v>15</v>
      </c>
      <c r="B7">
        <v>0.48099999999999998</v>
      </c>
      <c r="C7">
        <v>0.49</v>
      </c>
      <c r="D7">
        <v>0.49199999999999999</v>
      </c>
      <c r="E7">
        <v>1.32</v>
      </c>
      <c r="F7">
        <v>1.321</v>
      </c>
      <c r="G7">
        <v>1.34</v>
      </c>
      <c r="H7">
        <v>20</v>
      </c>
      <c r="J7">
        <f t="shared" si="0"/>
        <v>6693.2617420004826</v>
      </c>
      <c r="K7">
        <f t="shared" si="1"/>
        <v>15032.898305175975</v>
      </c>
      <c r="L7">
        <f t="shared" si="4"/>
        <v>8339.6365631754925</v>
      </c>
      <c r="M7">
        <v>18.286999999999999</v>
      </c>
      <c r="N7">
        <f t="shared" si="2"/>
        <v>5.3669999999999991</v>
      </c>
      <c r="O7">
        <f t="shared" si="3"/>
        <v>1.2471141684368333E-2</v>
      </c>
      <c r="P7">
        <f t="shared" si="5"/>
        <v>4.5604180910895674E-3</v>
      </c>
    </row>
    <row r="8" spans="1:25" x14ac:dyDescent="0.25">
      <c r="A8" t="s">
        <v>16</v>
      </c>
      <c r="B8">
        <v>0.504</v>
      </c>
      <c r="C8">
        <v>0.49099999999999999</v>
      </c>
      <c r="D8">
        <v>0.49299999999999999</v>
      </c>
      <c r="E8">
        <v>1.006</v>
      </c>
      <c r="F8">
        <v>1.022</v>
      </c>
      <c r="G8">
        <v>1.004</v>
      </c>
      <c r="H8">
        <v>20</v>
      </c>
      <c r="J8">
        <f t="shared" si="0"/>
        <v>6814.4916262109846</v>
      </c>
      <c r="K8">
        <f t="shared" si="1"/>
        <v>11021.956962868646</v>
      </c>
      <c r="L8">
        <f t="shared" si="4"/>
        <v>4207.4653366576613</v>
      </c>
      <c r="M8">
        <v>18.170000000000002</v>
      </c>
      <c r="N8">
        <f t="shared" si="2"/>
        <v>5.2500000000000018</v>
      </c>
      <c r="O8">
        <f t="shared" si="3"/>
        <v>1.2979984049925678E-2</v>
      </c>
      <c r="P8">
        <f t="shared" si="5"/>
        <v>2.3156110823652504E-3</v>
      </c>
    </row>
    <row r="9" spans="1:25" x14ac:dyDescent="0.25">
      <c r="A9" t="s">
        <v>17</v>
      </c>
      <c r="B9">
        <v>0.63200000000000001</v>
      </c>
      <c r="C9">
        <v>0.63200000000000001</v>
      </c>
      <c r="D9">
        <v>0.63300000000000001</v>
      </c>
      <c r="E9">
        <v>1.0720000000000001</v>
      </c>
      <c r="F9">
        <v>1.079</v>
      </c>
      <c r="G9">
        <v>1.0720000000000001</v>
      </c>
      <c r="H9">
        <v>40</v>
      </c>
      <c r="J9">
        <f t="shared" si="0"/>
        <v>17595.625063789641</v>
      </c>
      <c r="K9">
        <f t="shared" si="1"/>
        <v>23658.43404455858</v>
      </c>
      <c r="L9">
        <f t="shared" si="4"/>
        <v>6062.8089807689394</v>
      </c>
      <c r="M9">
        <v>17.77</v>
      </c>
      <c r="N9">
        <f t="shared" si="2"/>
        <v>4.8499999999999996</v>
      </c>
      <c r="O9">
        <f t="shared" si="3"/>
        <v>3.6279639306782768E-2</v>
      </c>
      <c r="P9">
        <f t="shared" si="5"/>
        <v>3.4118227241243322E-3</v>
      </c>
    </row>
    <row r="10" spans="1:25" x14ac:dyDescent="0.25">
      <c r="A10" t="s">
        <v>35</v>
      </c>
      <c r="B10">
        <v>0.39</v>
      </c>
      <c r="C10">
        <v>0.39500000000000002</v>
      </c>
      <c r="D10">
        <v>0.40200000000000002</v>
      </c>
      <c r="E10">
        <v>1.008</v>
      </c>
      <c r="F10">
        <v>1.024</v>
      </c>
      <c r="G10">
        <v>1.022</v>
      </c>
      <c r="H10">
        <v>20</v>
      </c>
      <c r="J10">
        <f t="shared" si="0"/>
        <v>5354.8838203165251</v>
      </c>
      <c r="K10">
        <f t="shared" si="1"/>
        <v>11114.939796936889</v>
      </c>
      <c r="L10">
        <f t="shared" si="4"/>
        <v>5760.0559766203642</v>
      </c>
      <c r="M10">
        <v>17.553999999999998</v>
      </c>
      <c r="N10">
        <f t="shared" si="2"/>
        <v>4.6339999999999986</v>
      </c>
      <c r="O10">
        <f t="shared" si="3"/>
        <v>1.1555640527225998E-2</v>
      </c>
      <c r="P10">
        <f t="shared" si="5"/>
        <v>3.2813352948731708E-3</v>
      </c>
    </row>
    <row r="11" spans="1:25" x14ac:dyDescent="0.25">
      <c r="A11" t="s">
        <v>34</v>
      </c>
      <c r="B11">
        <v>0.628</v>
      </c>
      <c r="C11">
        <v>0.63500000000000001</v>
      </c>
      <c r="D11">
        <v>0.63200000000000001</v>
      </c>
      <c r="E11">
        <v>1.327</v>
      </c>
      <c r="F11">
        <v>1.3340000000000001</v>
      </c>
      <c r="G11">
        <v>1.3220000000000001</v>
      </c>
      <c r="H11">
        <v>20</v>
      </c>
      <c r="J11">
        <f t="shared" si="0"/>
        <v>8788.1141411579811</v>
      </c>
      <c r="K11">
        <f t="shared" si="1"/>
        <v>15041.35129009127</v>
      </c>
      <c r="L11">
        <f t="shared" si="4"/>
        <v>6253.2371489332891</v>
      </c>
      <c r="M11">
        <v>18.9938</v>
      </c>
      <c r="N11">
        <f t="shared" si="2"/>
        <v>6.0738000000000003</v>
      </c>
      <c r="O11">
        <f t="shared" si="3"/>
        <v>1.4468889560337811E-2</v>
      </c>
      <c r="P11">
        <f t="shared" si="5"/>
        <v>3.2922517605393805E-3</v>
      </c>
      <c r="S11" t="s">
        <v>8</v>
      </c>
      <c r="T11">
        <f>SLOPE(R2:R5,V2:V5)</f>
        <v>727.37930526302046</v>
      </c>
    </row>
    <row r="12" spans="1:25" x14ac:dyDescent="0.25">
      <c r="T12">
        <f>INTERCEPT(R2:R5,V2:V5)</f>
        <v>-20.055554099908875</v>
      </c>
    </row>
    <row r="14" spans="1:25" x14ac:dyDescent="0.25">
      <c r="R14" t="s">
        <v>9</v>
      </c>
    </row>
    <row r="15" spans="1:25" x14ac:dyDescent="0.25">
      <c r="R15" t="s">
        <v>3</v>
      </c>
      <c r="S15" t="s">
        <v>4</v>
      </c>
      <c r="T15" t="s">
        <v>5</v>
      </c>
      <c r="U15" t="s">
        <v>6</v>
      </c>
      <c r="V15" t="s">
        <v>7</v>
      </c>
    </row>
    <row r="16" spans="1:25" x14ac:dyDescent="0.25">
      <c r="R16">
        <v>1000</v>
      </c>
      <c r="S16">
        <v>1.706</v>
      </c>
      <c r="T16">
        <v>1.708</v>
      </c>
      <c r="U16">
        <v>1.7609999999999999</v>
      </c>
      <c r="V16">
        <f>AVERAGE(S16:U16)</f>
        <v>1.7249999999999999</v>
      </c>
    </row>
    <row r="17" spans="18:22" x14ac:dyDescent="0.25">
      <c r="R17">
        <v>500</v>
      </c>
      <c r="S17">
        <v>0.92</v>
      </c>
      <c r="T17">
        <v>0.874</v>
      </c>
      <c r="U17">
        <v>0.94299999999999995</v>
      </c>
      <c r="V17">
        <f t="shared" ref="V17:V19" si="7">AVERAGE(S17:U17)</f>
        <v>0.91233333333333333</v>
      </c>
    </row>
    <row r="18" spans="18:22" x14ac:dyDescent="0.25">
      <c r="R18">
        <v>250</v>
      </c>
      <c r="S18">
        <v>0.52900000000000003</v>
      </c>
      <c r="T18">
        <v>0.56699999999999995</v>
      </c>
      <c r="U18">
        <v>0.53500000000000003</v>
      </c>
      <c r="V18">
        <f t="shared" si="7"/>
        <v>0.54366666666666674</v>
      </c>
    </row>
    <row r="19" spans="18:22" x14ac:dyDescent="0.25">
      <c r="R19">
        <v>100</v>
      </c>
      <c r="S19">
        <v>0.29399999999999998</v>
      </c>
      <c r="T19">
        <v>0.29399999999999998</v>
      </c>
      <c r="U19">
        <v>0.32</v>
      </c>
      <c r="V19">
        <f t="shared" si="7"/>
        <v>0.30266666666666664</v>
      </c>
    </row>
    <row r="21" spans="18:22" x14ac:dyDescent="0.25">
      <c r="S21" t="s">
        <v>8</v>
      </c>
      <c r="T21">
        <f>SLOPE(R16:R19,V16:V19)</f>
        <v>633.9738686471012</v>
      </c>
    </row>
    <row r="22" spans="18:22" x14ac:dyDescent="0.25">
      <c r="T22">
        <f>INTERCEPT(R16:R19,V16:V19)</f>
        <v>-89.63840843590458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fe_plate_1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 Patricio Cantarella</dc:creator>
  <cp:lastModifiedBy>Vitor Cantarella</cp:lastModifiedBy>
  <dcterms:created xsi:type="dcterms:W3CDTF">2026-01-23T14:02:27Z</dcterms:created>
  <dcterms:modified xsi:type="dcterms:W3CDTF">2026-02-20T10:11:50Z</dcterms:modified>
</cp:coreProperties>
</file>